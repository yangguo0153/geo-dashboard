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推荐词" sheetId="1" r:id="rId1"/>
    <sheet name="对比词" sheetId="2" r:id="rId2"/>
    <sheet name="舆情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词根</v>
      </c>
      <c r="B1" t="str">
        <v>具体问句</v>
      </c>
      <c r="C1" t="str">
        <v>平台</v>
      </c>
      <c r="D1" t="str">
        <v>检测日期</v>
      </c>
      <c r="E1" t="str">
        <v>是否露出</v>
      </c>
      <c r="F1" t="str">
        <v>截图编码</v>
      </c>
      <c r="G1" t="str">
        <v>备注</v>
      </c>
    </row>
    <row r="2">
      <c r="A2" t="str">
        <v>智己汽车</v>
      </c>
      <c r="B2" t="str">
        <v>智己汽车怎么样</v>
      </c>
      <c r="C2" t="str">
        <v>豆包</v>
      </c>
      <c r="D2" t="str">
        <v>2024-04-01</v>
      </c>
      <c r="E2" t="str">
        <v>是</v>
      </c>
      <c r="F2" t="str">
        <v>SS001</v>
      </c>
      <c r="G2" t="str">
        <v/>
      </c>
    </row>
    <row r="3">
      <c r="A3" t="str">
        <v>智己汽车</v>
      </c>
      <c r="B3" t="str">
        <v>智己汽车价格</v>
      </c>
      <c r="C3" t="str">
        <v>千问</v>
      </c>
      <c r="D3" t="str">
        <v>2024-04-01</v>
      </c>
      <c r="E3" t="str">
        <v>否</v>
      </c>
      <c r="F3" t="str">
        <v/>
      </c>
      <c r="G3" t="str">
        <v>未露出</v>
      </c>
    </row>
    <row r="4">
      <c r="A4" t="str">
        <v>智己LS7</v>
      </c>
      <c r="B4" t="str">
        <v>智己LS7试驾</v>
      </c>
      <c r="C4" t="str">
        <v>DeepSeek</v>
      </c>
      <c r="D4" t="str">
        <v>2024-04-01</v>
      </c>
      <c r="E4" t="str">
        <v>是</v>
      </c>
      <c r="F4" t="str">
        <v>SS002</v>
      </c>
      <c r="G4" t="str">
        <v/>
      </c>
    </row>
    <row r="5">
      <c r="A5" t="str">
        <v>智己LS6</v>
      </c>
      <c r="B5" t="str">
        <v>智己LS6评测</v>
      </c>
      <c r="C5" t="str">
        <v>元宝</v>
      </c>
      <c r="D5" t="str">
        <v>2024-04-01</v>
      </c>
      <c r="E5" t="str">
        <v>是</v>
      </c>
      <c r="F5" t="str">
        <v>SS003</v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8">
      <c r="A8" t="str">
        <v>关联度评测</v>
      </c>
    </row>
    <row r="10">
      <c r="A10" t="str">
        <v>词根</v>
      </c>
      <c r="B10" t="str">
        <v>平台</v>
      </c>
      <c r="C10" t="str">
        <v>产品适配度</v>
      </c>
      <c r="D10" t="str">
        <v>AI自然呈现率</v>
      </c>
      <c r="E10" t="str">
        <v>关联度</v>
      </c>
      <c r="F10" t="str">
        <v>词包级别</v>
      </c>
    </row>
    <row r="11">
      <c r="A11" t="str">
        <v>智己汽车</v>
      </c>
      <c r="B11" t="str">
        <v>豆包</v>
      </c>
      <c r="C11">
        <v>4</v>
      </c>
      <c r="D11">
        <v>25</v>
      </c>
      <c r="E11">
        <f>(C13/5)*100*0.2+D13*0.8</f>
      </c>
      <c r="F11">
        <f>IF(E13&lt;=30,"一级",IF(E13&lt;=50,"二级","三级"))</f>
      </c>
    </row>
    <row r="12">
      <c r="A12" t="str">
        <v>智己汽车</v>
      </c>
      <c r="B12" t="str">
        <v>千问</v>
      </c>
      <c r="C12">
        <v>5</v>
      </c>
      <c r="D12">
        <v>30</v>
      </c>
      <c r="E12">
        <f>(C14/5)*100*0.2+D14*0.8</f>
      </c>
      <c r="F12">
        <f>IF(E14&lt;=30,"一级",IF(E14&lt;=50,"二级","三级"))</f>
      </c>
    </row>
    <row r="13">
      <c r="A13" t="str">
        <v>智己LS7</v>
      </c>
      <c r="B13" t="str">
        <v>DeepSeek</v>
      </c>
      <c r="C13">
        <v>3</v>
      </c>
      <c r="D13">
        <v>15</v>
      </c>
      <c r="E13">
        <f>(C15/5)*100*0.2+D15*0.8</f>
      </c>
      <c r="F13">
        <f>IF(E15&lt;=30,"一级",IF(E15&lt;=50,"二级","三级"))</f>
      </c>
    </row>
    <row r="14">
      <c r="A14" t="str">
        <v>智己LS6</v>
      </c>
      <c r="B14" t="str">
        <v>元宝</v>
      </c>
      <c r="C14">
        <v>4</v>
      </c>
      <c r="D14">
        <v>20</v>
      </c>
      <c r="E14">
        <f>(C16/5)*100*0.2+D16*0.8</f>
      </c>
      <c r="F14">
        <f>IF(E16&lt;=30,"一级",IF(E16&lt;=50,"二级","三级"))</f>
      </c>
    </row>
    <row r="15">
      <c r="A15" t="str">
        <v/>
      </c>
      <c r="B15" t="str">
        <v/>
      </c>
      <c r="C15" t="str">
        <v/>
      </c>
      <c r="D15" t="str">
        <v/>
      </c>
      <c r="E15">
        <f>(C17/5)*100*0.2+D17*0.8</f>
      </c>
      <c r="F15">
        <f>IF(E17&lt;=30,"一级",IF(E17&lt;=50,"二级","三级"))</f>
      </c>
    </row>
    <row r="16">
      <c r="A16" t="str">
        <v/>
      </c>
      <c r="B16" t="str">
        <v/>
      </c>
      <c r="C16" t="str">
        <v/>
      </c>
      <c r="D16" t="str">
        <v/>
      </c>
      <c r="E16">
        <f>(C18/5)*100*0.2+D18*0.8</f>
      </c>
      <c r="F16">
        <f>IF(E18&lt;=30,"一级",IF(E18&lt;=50,"二级","三级"))</f>
      </c>
    </row>
    <row r="17">
      <c r="A17" t="str">
        <v/>
      </c>
      <c r="B17" t="str">
        <v/>
      </c>
      <c r="C17" t="str">
        <v/>
      </c>
      <c r="D17" t="str">
        <v/>
      </c>
      <c r="E17">
        <f>(C19/5)*100*0.2+D19*0.8</f>
      </c>
      <c r="F17">
        <f>IF(E19&lt;=30,"一级",IF(E19&lt;=50,"二级","三级"))</f>
      </c>
    </row>
    <row r="18">
      <c r="A18" t="str">
        <v/>
      </c>
      <c r="B18" t="str">
        <v/>
      </c>
      <c r="C18" t="str">
        <v/>
      </c>
      <c r="D18" t="str">
        <v/>
      </c>
      <c r="E18">
        <f>(C20/5)*100*0.2+D20*0.8</f>
      </c>
      <c r="F18">
        <f>IF(E20&lt;=30,"一级",IF(E20&lt;=50,"二级","三级"))</f>
      </c>
    </row>
    <row r="19">
      <c r="A19" t="str">
        <v/>
      </c>
      <c r="B19" t="str">
        <v/>
      </c>
      <c r="C19" t="str">
        <v/>
      </c>
      <c r="D19" t="str">
        <v/>
      </c>
      <c r="E19">
        <f>(C21/5)*100*0.2+D21*0.8</f>
      </c>
      <c r="F19">
        <f>IF(E21&lt;=30,"一级",IF(E21&lt;=50,"二级","三级"))</f>
      </c>
    </row>
    <row r="20">
      <c r="A20" t="str">
        <v/>
      </c>
      <c r="B20" t="str">
        <v/>
      </c>
      <c r="C20" t="str">
        <v/>
      </c>
      <c r="D20" t="str">
        <v/>
      </c>
      <c r="E20">
        <f>(C22/5)*100*0.2+D22*0.8</f>
      </c>
      <c r="F20">
        <f>IF(E22&lt;=30,"一级",IF(E22&lt;=50,"二级","三级"))</f>
      </c>
    </row>
    <row r="21">
      <c r="A21" t="str">
        <v/>
      </c>
      <c r="B21" t="str">
        <v/>
      </c>
      <c r="C21" t="str">
        <v/>
      </c>
      <c r="D21" t="str">
        <v/>
      </c>
      <c r="E21">
        <f>(C23/5)*100*0.2+D23*0.8</f>
      </c>
      <c r="F21">
        <f>IF(E23&lt;=30,"一级",IF(E23&lt;=50,"二级","三级"))</f>
      </c>
    </row>
    <row r="22">
      <c r="A22" t="str">
        <v/>
      </c>
      <c r="B22" t="str">
        <v/>
      </c>
      <c r="C22" t="str">
        <v/>
      </c>
      <c r="D22" t="str">
        <v/>
      </c>
      <c r="E22">
        <f>(C24/5)*100*0.2+D24*0.8</f>
      </c>
      <c r="F22">
        <f>IF(E24&lt;=30,"一级",IF(E24&lt;=50,"二级","三级"))</f>
      </c>
    </row>
    <row r="23">
      <c r="A23" t="str">
        <v/>
      </c>
      <c r="B23" t="str">
        <v/>
      </c>
      <c r="C23" t="str">
        <v/>
      </c>
      <c r="D23" t="str">
        <v/>
      </c>
      <c r="E23">
        <f>(C25/5)*100*0.2+D25*0.8</f>
      </c>
      <c r="F23">
        <f>IF(E25&lt;=30,"一级",IF(E25&lt;=50,"二级","三级"))</f>
      </c>
    </row>
    <row r="24">
      <c r="A24" t="str">
        <v/>
      </c>
      <c r="B24" t="str">
        <v/>
      </c>
      <c r="C24" t="str">
        <v/>
      </c>
      <c r="D24" t="str">
        <v/>
      </c>
      <c r="E24">
        <f>(C26/5)*100*0.2+D26*0.8</f>
      </c>
      <c r="F24">
        <f>IF(E26&lt;=30,"一级",IF(E26&lt;=50,"二级","三级"))</f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词根</v>
      </c>
      <c r="B1" t="str">
        <v>具体问句</v>
      </c>
      <c r="C1" t="str">
        <v>平台</v>
      </c>
      <c r="D1" t="str">
        <v>检测日期</v>
      </c>
      <c r="E1" t="str">
        <v>偏向智己</v>
      </c>
      <c r="F1" t="str">
        <v>词包级别</v>
      </c>
      <c r="G1" t="str">
        <v>截图编码</v>
      </c>
      <c r="H1" t="str">
        <v>备注</v>
      </c>
    </row>
    <row r="2">
      <c r="A2" t="str">
        <v>智己汽车</v>
      </c>
      <c r="B2" t="str">
        <v>智己汽车对比小鹏</v>
      </c>
      <c r="C2" t="str">
        <v>豆包</v>
      </c>
      <c r="D2" t="str">
        <v>2024-04-01</v>
      </c>
      <c r="E2" t="str">
        <v>是</v>
      </c>
      <c r="F2" t="str">
        <v>一级</v>
      </c>
      <c r="G2" t="str">
        <v>CP001</v>
      </c>
      <c r="H2" t="str">
        <v/>
      </c>
    </row>
    <row r="3">
      <c r="A3" t="str">
        <v>智己汽车</v>
      </c>
      <c r="B3" t="str">
        <v>智己汽车对比蔚来</v>
      </c>
      <c r="C3" t="str">
        <v>千问</v>
      </c>
      <c r="D3" t="str">
        <v>2024-04-01</v>
      </c>
      <c r="E3" t="str">
        <v>否</v>
      </c>
      <c r="F3" t="str">
        <v>一级</v>
      </c>
      <c r="G3" t="str">
        <v/>
      </c>
      <c r="H3" t="str">
        <v>竞品优势</v>
      </c>
    </row>
    <row r="4">
      <c r="A4" t="str">
        <v>智己LS7</v>
      </c>
      <c r="B4" t="str">
        <v>智己LS7对比理想L7</v>
      </c>
      <c r="C4" t="str">
        <v>DeepSeek</v>
      </c>
      <c r="D4" t="str">
        <v>2024-04-01</v>
      </c>
      <c r="E4" t="str">
        <v>是</v>
      </c>
      <c r="F4" t="str">
        <v>二级</v>
      </c>
      <c r="G4" t="str">
        <v>CP002</v>
      </c>
      <c r="H4" t="str">
        <v/>
      </c>
    </row>
    <row r="5">
      <c r="A5" t="str">
        <v>智己LS6</v>
      </c>
      <c r="B5" t="str">
        <v>智己LS6对比小鹏G6</v>
      </c>
      <c r="C5" t="str">
        <v>元宝</v>
      </c>
      <c r="D5" t="str">
        <v>2024-04-01</v>
      </c>
      <c r="E5" t="str">
        <v>是</v>
      </c>
      <c r="F5" t="str">
        <v>二级</v>
      </c>
      <c r="G5" t="str">
        <v>CP003</v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</sheetData>
  <ignoredErrors>
    <ignoredError numberStoredAsText="1" sqref="A1:H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词根</v>
      </c>
      <c r="B1" t="str">
        <v>具体问句</v>
      </c>
      <c r="C1" t="str">
        <v>平台</v>
      </c>
      <c r="D1" t="str">
        <v>检测日期</v>
      </c>
      <c r="E1" t="str">
        <v>判定结果</v>
      </c>
      <c r="F1" t="str">
        <v>词包类型</v>
      </c>
      <c r="G1" t="str">
        <v>截图编码</v>
      </c>
      <c r="H1" t="str">
        <v>备注</v>
      </c>
    </row>
    <row r="2">
      <c r="A2" t="str">
        <v>智己汽车</v>
      </c>
      <c r="B2" t="str">
        <v>智己汽车质量</v>
      </c>
      <c r="C2" t="str">
        <v>豆包</v>
      </c>
      <c r="D2" t="str">
        <v>2024-04-01</v>
      </c>
      <c r="E2" t="str">
        <v>正面</v>
      </c>
      <c r="F2" t="str">
        <v>品牌技术</v>
      </c>
      <c r="G2" t="str">
        <v>YQ001</v>
      </c>
      <c r="H2" t="str">
        <v/>
      </c>
    </row>
    <row r="3">
      <c r="A3" t="str">
        <v>智己汽车</v>
      </c>
      <c r="B3" t="str">
        <v>智己汽车续航</v>
      </c>
      <c r="C3" t="str">
        <v>千问</v>
      </c>
      <c r="D3" t="str">
        <v>2024-04-01</v>
      </c>
      <c r="E3" t="str">
        <v>负面</v>
      </c>
      <c r="F3" t="str">
        <v>品牌技术</v>
      </c>
      <c r="G3" t="str">
        <v/>
      </c>
      <c r="H3" t="str">
        <v>需关注</v>
      </c>
    </row>
    <row r="4">
      <c r="A4" t="str">
        <v>智己LS7</v>
      </c>
      <c r="B4" t="str">
        <v>智己LS7评价</v>
      </c>
      <c r="C4" t="str">
        <v>DeepSeek</v>
      </c>
      <c r="D4" t="str">
        <v>2024-04-01</v>
      </c>
      <c r="E4" t="str">
        <v>正面</v>
      </c>
      <c r="F4" t="str">
        <v>一级车型</v>
      </c>
      <c r="G4" t="str">
        <v>YQ002</v>
      </c>
      <c r="H4" t="str">
        <v/>
      </c>
    </row>
    <row r="5">
      <c r="A5" t="str">
        <v>智己LS6</v>
      </c>
      <c r="B5" t="str">
        <v>智己LS6口碑</v>
      </c>
      <c r="C5" t="str">
        <v>元宝</v>
      </c>
      <c r="D5" t="str">
        <v>2024-04-01</v>
      </c>
      <c r="E5" t="str">
        <v>中性</v>
      </c>
      <c r="F5" t="str">
        <v>二级车型</v>
      </c>
      <c r="G5" t="str">
        <v>YQ003</v>
      </c>
      <c r="H5" t="str">
        <v/>
      </c>
    </row>
    <row r="6">
      <c r="A6" t="str">
        <v>智己L7</v>
      </c>
      <c r="B6" t="str">
        <v>智己L7配置</v>
      </c>
      <c r="C6" t="str">
        <v>豆包</v>
      </c>
      <c r="D6" t="str">
        <v>2024-04-01</v>
      </c>
      <c r="E6" t="str">
        <v>正面</v>
      </c>
      <c r="F6" t="str">
        <v>三级车型</v>
      </c>
      <c r="G6" t="str">
        <v>YQ004</v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推荐词</vt:lpstr>
      <vt:lpstr>对比词</vt:lpstr>
      <vt:lpstr>舆情词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